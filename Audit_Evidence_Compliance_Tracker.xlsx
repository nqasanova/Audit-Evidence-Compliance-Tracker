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udit Request Log" sheetId="2" state="visible" r:id="rId4"/>
    <sheet name="Control Reference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<sst xmlns="http://schemas.openxmlformats.org/spreadsheetml/2006/main" count="220" uniqueCount="161">
  <si>
    <t xml:space="preserve">Audit Readiness Dashboard</t>
  </si>
  <si>
    <t xml:space="preserve">Live counts pull from 'Audit Request Log' — update the log and this sheet recalculates automatically.</t>
  </si>
  <si>
    <t xml:space="preserve">Total Requests</t>
  </si>
  <si>
    <t xml:space="preserve">Submitted</t>
  </si>
  <si>
    <t xml:space="preserve">Overdue</t>
  </si>
  <si>
    <t xml:space="preserve">Due Soon</t>
  </si>
  <si>
    <t xml:space="preserve">On Track</t>
  </si>
  <si>
    <t xml:space="preserve">Completion %</t>
  </si>
  <si>
    <t xml:space="preserve">Status Breakdown</t>
  </si>
  <si>
    <t xml:space="preserve">Requests by Control Domain</t>
  </si>
  <si>
    <t xml:space="preserve">Organizational Controls</t>
  </si>
  <si>
    <t xml:space="preserve">People Controls</t>
  </si>
  <si>
    <t xml:space="preserve">Physical Controls</t>
  </si>
  <si>
    <t xml:space="preserve">Technological Controls</t>
  </si>
  <si>
    <t xml:space="preserve">Access Management</t>
  </si>
  <si>
    <t xml:space="preserve">Business Impact &amp; Risk</t>
  </si>
  <si>
    <t xml:space="preserve">Audit Request Log — Compliance &amp; Audit Evidence Tracker</t>
  </si>
  <si>
    <t xml:space="preserve">Request ID</t>
  </si>
  <si>
    <t xml:space="preserve">Request / Evidence Title</t>
  </si>
  <si>
    <t xml:space="preserve">Requesting Team / Auditor</t>
  </si>
  <si>
    <t xml:space="preserve">Control Domain</t>
  </si>
  <si>
    <t xml:space="preserve">Control Reference</t>
  </si>
  <si>
    <t xml:space="preserve">Evidence Owner</t>
  </si>
  <si>
    <t xml:space="preserve">Date Requested</t>
  </si>
  <si>
    <t xml:space="preserve">Due Date</t>
  </si>
  <si>
    <t xml:space="preserve">Status</t>
  </si>
  <si>
    <t xml:space="preserve">Effective Status</t>
  </si>
  <si>
    <t xml:space="preserve">Days Until Due</t>
  </si>
  <si>
    <t xml:space="preserve">Notes</t>
  </si>
  <si>
    <t xml:space="preserve">AR-001</t>
  </si>
  <si>
    <t xml:space="preserve">Privileged access review export</t>
  </si>
  <si>
    <t xml:space="preserve">Group Audit</t>
  </si>
  <si>
    <t xml:space="preserve">A.9.2 (ISO 27002)</t>
  </si>
  <si>
    <t xml:space="preserve">IAM Lead</t>
  </si>
  <si>
    <t xml:space="preserve">In Progress</t>
  </si>
  <si>
    <t xml:space="preserve">Awaiting export from IAM tooling</t>
  </si>
  <si>
    <t xml:space="preserve">AR-002</t>
  </si>
  <si>
    <t xml:space="preserve">Incident response runbook v3</t>
  </si>
  <si>
    <t xml:space="preserve">External Audit Firm</t>
  </si>
  <si>
    <t xml:space="preserve">A.5.24</t>
  </si>
  <si>
    <t xml:space="preserve">SOC Manager</t>
  </si>
  <si>
    <t xml:space="preserve">Not Started</t>
  </si>
  <si>
    <t xml:space="preserve">AR-003</t>
  </si>
  <si>
    <t xml:space="preserve">Vulnerability scan reports Q3</t>
  </si>
  <si>
    <t xml:space="preserve">Group Compliance</t>
  </si>
  <si>
    <t xml:space="preserve">A.8.8</t>
  </si>
  <si>
    <t xml:space="preserve">Threat Mgmt Lead</t>
  </si>
  <si>
    <t xml:space="preserve">AR-004</t>
  </si>
  <si>
    <t xml:space="preserve">Change management approvals log</t>
  </si>
  <si>
    <t xml:space="preserve">Internal Audit</t>
  </si>
  <si>
    <t xml:space="preserve">A.8.32</t>
  </si>
  <si>
    <t xml:space="preserve">DevSecOps Lead</t>
  </si>
  <si>
    <t xml:space="preserve">AR-005</t>
  </si>
  <si>
    <t xml:space="preserve">Data classification policy sign-off</t>
  </si>
  <si>
    <t xml:space="preserve">A.5.12</t>
  </si>
  <si>
    <t xml:space="preserve">Data Governance Lead</t>
  </si>
  <si>
    <t xml:space="preserve">Filed in repository</t>
  </si>
  <si>
    <t xml:space="preserve">AR-006</t>
  </si>
  <si>
    <t xml:space="preserve">SIEM log retention evidence</t>
  </si>
  <si>
    <t xml:space="preserve">A.8.15</t>
  </si>
  <si>
    <t xml:space="preserve">SOC Lead</t>
  </si>
  <si>
    <t xml:space="preserve">AR-007</t>
  </si>
  <si>
    <t xml:space="preserve">Business impact analysis report</t>
  </si>
  <si>
    <t xml:space="preserve">BIA-01</t>
  </si>
  <si>
    <t xml:space="preserve">Resilience Lead</t>
  </si>
  <si>
    <t xml:space="preserve">AR-008</t>
  </si>
  <si>
    <t xml:space="preserve">Security awareness training records</t>
  </si>
  <si>
    <t xml:space="preserve">A.6.3</t>
  </si>
  <si>
    <t xml:space="preserve">HR Security Liaison</t>
  </si>
  <si>
    <t xml:space="preserve">ISO 27001/27002 &amp; COBIT Control-to-Evidence Reference</t>
  </si>
  <si>
    <t xml:space="preserve">Control ID</t>
  </si>
  <si>
    <t xml:space="preserve">Domain</t>
  </si>
  <si>
    <t xml:space="preserve">COBIT Ref</t>
  </si>
  <si>
    <t xml:space="preserve">Control Name</t>
  </si>
  <si>
    <t xml:space="preserve">Evidence to Request</t>
  </si>
  <si>
    <t xml:space="preserve">A.5.1</t>
  </si>
  <si>
    <t xml:space="preserve">APO01</t>
  </si>
  <si>
    <t xml:space="preserve">Policies for information security</t>
  </si>
  <si>
    <t xml:space="preserve">Board/management-approved security policy document with version history and review dates.</t>
  </si>
  <si>
    <t xml:space="preserve">A.5.9</t>
  </si>
  <si>
    <t xml:space="preserve">APO03</t>
  </si>
  <si>
    <t xml:space="preserve">Inventory of information and assets</t>
  </si>
  <si>
    <t xml:space="preserve">Current asset register export (systems, data classification, owners).</t>
  </si>
  <si>
    <t xml:space="preserve">Classification of information</t>
  </si>
  <si>
    <t xml:space="preserve">Data classification policy sign-off and sample of classified records/labels.</t>
  </si>
  <si>
    <t xml:space="preserve">A.5.15</t>
  </si>
  <si>
    <t xml:space="preserve">DSS05</t>
  </si>
  <si>
    <t xml:space="preserve">Access control</t>
  </si>
  <si>
    <t xml:space="preserve">Access control policy plus periodic access review reports and approvals.</t>
  </si>
  <si>
    <t xml:space="preserve">DSS02</t>
  </si>
  <si>
    <t xml:space="preserve">Incident management planning</t>
  </si>
  <si>
    <t xml:space="preserve">Incident response plan, roles matrix, and evidence of tabletop exercise.</t>
  </si>
  <si>
    <t xml:space="preserve">A.5.30</t>
  </si>
  <si>
    <t xml:space="preserve">DSS04</t>
  </si>
  <si>
    <t xml:space="preserve">ICT readiness for business continuity</t>
  </si>
  <si>
    <t xml:space="preserve">BCP/DR test results and sign-off from most recent exercise.</t>
  </si>
  <si>
    <t xml:space="preserve">A.5.35</t>
  </si>
  <si>
    <t xml:space="preserve">MEA04</t>
  </si>
  <si>
    <t xml:space="preserve">Independent review of information security</t>
  </si>
  <si>
    <t xml:space="preserve">Latest internal/external audit report and remediation tracker.</t>
  </si>
  <si>
    <t xml:space="preserve">A.5.36</t>
  </si>
  <si>
    <t xml:space="preserve">MEA03</t>
  </si>
  <si>
    <t xml:space="preserve">Compliance with policies and standards</t>
  </si>
  <si>
    <t xml:space="preserve">Compliance self-assessment results and exception register.</t>
  </si>
  <si>
    <t xml:space="preserve">APO07</t>
  </si>
  <si>
    <t xml:space="preserve">Security awareness, education and training</t>
  </si>
  <si>
    <t xml:space="preserve">Training completion records / LMS export for the audit period.</t>
  </si>
  <si>
    <t xml:space="preserve">A.6.6</t>
  </si>
  <si>
    <t xml:space="preserve">Confidentiality / non-disclosure agreements</t>
  </si>
  <si>
    <t xml:space="preserve">Signed NDA templates and sample of executed agreements.</t>
  </si>
  <si>
    <t xml:space="preserve">A.7.4</t>
  </si>
  <si>
    <t xml:space="preserve">DSS01</t>
  </si>
  <si>
    <t xml:space="preserve">Physical security monitoring</t>
  </si>
  <si>
    <t xml:space="preserve">Access log exports / CCTV retention confirmation for data center or office.</t>
  </si>
  <si>
    <t xml:space="preserve">A.8.2</t>
  </si>
  <si>
    <t xml:space="preserve">Privileged access rights</t>
  </si>
  <si>
    <t xml:space="preserve">Privileged account inventory and quarterly re-certification evidence.</t>
  </si>
  <si>
    <t xml:space="preserve">BAI03</t>
  </si>
  <si>
    <t xml:space="preserve">Management of technical vulnerabilities</t>
  </si>
  <si>
    <t xml:space="preserve">Vulnerability scan reports and remediation SLA tracking export.</t>
  </si>
  <si>
    <t xml:space="preserve">A.8.9</t>
  </si>
  <si>
    <t xml:space="preserve">BAI10</t>
  </si>
  <si>
    <t xml:space="preserve">Configuration management</t>
  </si>
  <si>
    <t xml:space="preserve">Baseline configuration standards and configuration drift reports.</t>
  </si>
  <si>
    <t xml:space="preserve">Logging</t>
  </si>
  <si>
    <t xml:space="preserve">SIEM log retention settings and sample log export covering audit period.</t>
  </si>
  <si>
    <t xml:space="preserve">A.8.16</t>
  </si>
  <si>
    <t xml:space="preserve">Monitoring activities</t>
  </si>
  <si>
    <t xml:space="preserve">SOC monitoring dashboard screenshots and alert-handling records.</t>
  </si>
  <si>
    <t xml:space="preserve">A.8.24</t>
  </si>
  <si>
    <t xml:space="preserve">Use of cryptography</t>
  </si>
  <si>
    <t xml:space="preserve">Encryption standard documentation and key management procedure.</t>
  </si>
  <si>
    <t xml:space="preserve">BAI06</t>
  </si>
  <si>
    <t xml:space="preserve">Change management</t>
  </si>
  <si>
    <t xml:space="preserve">Change request tickets with approvals for a sample of production changes.</t>
  </si>
  <si>
    <t xml:space="preserve">User access management</t>
  </si>
  <si>
    <t xml:space="preserve">Joiner/mover/leaver process evidence and periodic access review sign-off.</t>
  </si>
  <si>
    <t xml:space="preserve">APO12</t>
  </si>
  <si>
    <t xml:space="preserve">Business impact analysis</t>
  </si>
  <si>
    <t xml:space="preserve">Latest BIA report identifying critical processes and recovery time objectives.</t>
  </si>
  <si>
    <t xml:space="preserve">RISK-01</t>
  </si>
  <si>
    <t xml:space="preserve">Risk assessment &amp; treatment</t>
  </si>
  <si>
    <t xml:space="preserve">Risk register with treatment plans and residual risk sign-off.</t>
  </si>
  <si>
    <t xml:space="preserve">How to use this tracker</t>
  </si>
  <si>
    <t xml:space="preserve">1) Log every incoming audit request in 'Audit Request Log' as soon as it arrives (row per request).</t>
  </si>
  <si>
    <t xml:space="preserve">   Fill: Request ID, Title, Requesting Team/Auditor, Control Domain (dropdown), Control Reference,</t>
  </si>
  <si>
    <t xml:space="preserve">   Evidence Owner, Date Requested, Due Date, Status (dropdown: Not Started / In Progress / Submitted).</t>
  </si>
  <si>
    <t xml:space="preserve">2) 'Effective Status' and 'Days Until Due' are formulas — do not type into columns J or K.</t>
  </si>
  <si>
    <t xml:space="preserve">   They auto-calculate Overdue / Due Soon / On Track / Submitted from the Due Date and Status you enter.</t>
  </si>
  <si>
    <t xml:space="preserve">3) Use the 'Control Reference' sheet to look up which evidence artifact an auditor typically wants for a</t>
  </si>
  <si>
    <t xml:space="preserve">   given ISO 27001/27002 or COBIT control — useful when scoping a new request or briefing an evidence owner.</t>
  </si>
  <si>
    <t xml:space="preserve">4) The 'Dashboard' sheet recalculates automatically from the log: total requests, completion rate,</t>
  </si>
  <si>
    <t xml:space="preserve">   overdue count, and breakdowns by status and control domain, each with a chart.</t>
  </si>
  <si>
    <t xml:space="preserve">5) The template supports 30 requests (rows 3–32 on the log). To track more, select row 32, insert rows</t>
  </si>
  <si>
    <t xml:space="preserve">   below it, and copy the formulas in columns J and K down — then extend the ranges in Dashboard formulas.</t>
  </si>
  <si>
    <t xml:space="preserve">Extending into Power BI:</t>
  </si>
  <si>
    <t xml:space="preserve">   Open Power BI Desktop &gt; Get Data &gt; Excel Workbook &gt; select this file &gt; load the 'Audit Request Log'</t>
  </si>
  <si>
    <t xml:space="preserve">   and 'Control Reference' tables &gt; build visuals (e.g. overdue trend over time, evidence completion by</t>
  </si>
  <si>
    <t xml:space="preserve">   requesting team). This keeps the Excel file as the source of truth and Power BI as the reporting layer.</t>
  </si>
  <si>
    <t xml:space="preserve">Note: sample rows AR-001 to AR-008 are placeholder data to demonstrate the tracker — replace with real</t>
  </si>
  <si>
    <t xml:space="preserve">requests, or delete the sample rows and start logging your own.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</si>
</sst>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i val="true"/>
      <sz val="10"/>
      <color rgb="FF66707D"/>
      <name val="Arial"/>
      <family val="0"/>
      <charset val="1"/>
    </font>
    <font>
      <sz val="9"/>
      <color rgb="FF66707D"/>
      <name val="Arial"/>
      <family val="0"/>
      <charset val="1"/>
    </font>
    <font>
      <b val="true"/>
      <sz val="20"/>
      <color rgb="FF132B5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  <bgColor rgb="FF132B5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62828"/>
      </font>
      <fill>
        <patternFill>
          <bgColor rgb="FFFDEAEA"/>
        </patternFill>
      </fill>
    </dxf>
    <dxf>
      <font>
        <name val="Arial"/>
        <charset val="1"/>
        <family val="0"/>
        <b val="1"/>
        <color rgb="FFC77700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1B8A5A"/>
      </font>
      <fill>
        <patternFill>
          <bgColor rgb="FFE5F5EC"/>
        </patternFill>
      </fill>
    </dxf>
    <dxf>
      <font>
        <name val="Arial"/>
        <charset val="1"/>
        <family val="0"/>
        <b val="1"/>
        <color rgb="FF1E88E5"/>
      </font>
      <fill>
        <patternFill>
          <bgColor rgb="FFE6F0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C0504D"/>
      <rgbColor rgb="FFFFF3E0"/>
      <rgbColor rgb="FFE5F5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C"/>
      <rgbColor rgb="FFD9DEE4"/>
      <rgbColor rgb="FFFDEAEA"/>
      <rgbColor rgb="FF99CCFF"/>
      <rgbColor rgb="FFFF99CC"/>
      <rgbColor rgb="FFCC99FF"/>
      <rgbColor rgb="FFFFCC99"/>
      <rgbColor rgb="FF1E88E5"/>
      <rgbColor rgb="FF33CCCC"/>
      <rgbColor rgb="FF9BBB59"/>
      <rgbColor rgb="FFFFCC00"/>
      <rgbColor rgb="FFFF9900"/>
      <rgbColor rgb="FFC77700"/>
      <rgbColor rgb="FF66707D"/>
      <rgbColor rgb="FF8064A2"/>
      <rgbColor rgb="FF132B52"/>
      <rgbColor rgb="FF1B8A5A"/>
      <rgbColor rgb="FF0B1F3A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Evidence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Dashboard!$B$8:$B$11</c:f>
              <c:strCache>
                <c:ptCount val="4"/>
                <c:pt idx="0">
                  <c:v>Submitted</c:v>
                </c:pt>
                <c:pt idx="1">
                  <c:v>Overdue</c:v>
                </c:pt>
                <c:pt idx="2">
                  <c:v>Due Soon</c:v>
                </c:pt>
                <c:pt idx="3">
                  <c:v>On Track</c:v>
                </c:pt>
              </c:strCache>
            </c:strRef>
          </c:cat>
          <c:val>
            <c:numRef>
              <c:f>Dashboard!$C$8:$C$11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Requests by Control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Dashboard!$E$8:$E$13</c:f>
              <c:strCache>
                <c:ptCount val="6"/>
                <c:pt idx="0">
                  <c:v>Organizational Controls</c:v>
                </c:pt>
                <c:pt idx="1">
                  <c:v>People Controls</c:v>
                </c:pt>
                <c:pt idx="2">
                  <c:v>Physical Controls</c:v>
                </c:pt>
                <c:pt idx="3">
                  <c:v>Technological Controls</c:v>
                </c:pt>
                <c:pt idx="4">
                  <c:v>Access Management</c:v>
                </c:pt>
                <c:pt idx="5">
                  <c:v>Business Impact &amp; Risk</c:v>
                </c:pt>
              </c:strCache>
            </c:strRef>
          </c:cat>
          <c:val>
            <c:numRef>
              <c:f>Dashboard!$F$8:$F$13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89316915"/>
        <c:axId val="58710958"/>
      </c:barChart>
      <c:catAx>
        <c:axId val="89316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710958"/>
        <c:crosses val="autoZero"/>
        <c:auto val="1"/>
        <c:lblAlgn val="ctr"/>
        <c:lblOffset val="100"/>
        <c:noMultiLvlLbl val="0"/>
      </c:catAx>
      <c:valAx>
        <c:axId val="58710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3169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4</xdr:col>
      <xdr:colOff>936360</xdr:colOff>
      <xdr:row>29</xdr:row>
      <xdr:rowOff>21960</xdr:rowOff>
    </xdr:to>
    <xdr:graphicFrame>
      <xdr:nvGraphicFramePr>
        <xdr:cNvPr id="1" name="Chart 1"/>
        <xdr:cNvGraphicFramePr/>
      </xdr:nvGraphicFramePr>
      <xdr:xfrm>
        <a:off x="611640" y="2971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15</xdr:col>
      <xdr:colOff>147600</xdr:colOff>
      <xdr:row>29</xdr:row>
      <xdr:rowOff>21960</xdr:rowOff>
    </xdr:to>
    <xdr:graphicFrame>
      <xdr:nvGraphicFramePr>
        <xdr:cNvPr id="2" name="Chart 2"/>
        <xdr:cNvGraphicFramePr/>
      </xdr:nvGraphicFramePr>
      <xdr:xfrm>
        <a:off x="8083080" y="29718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2" style="0" width="16"/>
    <col collapsed="false" customWidth="true" hidden="false" outlineLevel="0" max="5" min="5" style="0" width="26"/>
    <col collapsed="false" customWidth="true" hidden="false" outlineLevel="0" max="7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30" hidden="false" customHeight="true" outlineLevel="0" collapsed="false">
      <c r="B5" s="4" t="n">
        <f aca="false">COUNTIF('Audit Request Log'!$B$3:$B$32,"&lt;&gt;")</f>
        <v>8</v>
      </c>
      <c r="C5" s="4" t="n">
        <f aca="false">COUNTIF('Audit Request Log'!$J$3:$J$32,"Submitted")</f>
        <v>2</v>
      </c>
      <c r="D5" s="4" t="n">
        <f aca="false">COUNTIF('Audit Request Log'!$J$3:$J$32,"Overdue")</f>
        <v>2</v>
      </c>
      <c r="E5" s="4" t="n">
        <f aca="false">COUNTIF('Audit Request Log'!$J$3:$J$32,"Due Soon")</f>
        <v>2</v>
      </c>
      <c r="F5" s="4" t="n">
        <f aca="false">COUNTIF('Audit Request Log'!$J$3:$J$32,"On Track")</f>
        <v>2</v>
      </c>
      <c r="G5" s="5" t="n">
        <f aca="false">IFERROR(C5/B5,0)</f>
        <v>0.25</v>
      </c>
    </row>
    <row r="7" customFormat="false" ht="15" hidden="false" customHeight="false" outlineLevel="0" collapsed="false">
      <c r="B7" s="6" t="s">
        <v>8</v>
      </c>
      <c r="E7" s="6" t="s">
        <v>9</v>
      </c>
    </row>
    <row r="8" customFormat="false" ht="15" hidden="false" customHeight="false" outlineLevel="0" collapsed="false">
      <c r="B8" s="7" t="s">
        <v>3</v>
      </c>
      <c r="C8" s="7" t="n">
        <f aca="false">COUNTIF('Audit Request Log'!$J$3:$J$32,"Submitted")</f>
        <v>2</v>
      </c>
      <c r="E8" s="7" t="s">
        <v>10</v>
      </c>
      <c r="F8" s="7" t="n">
        <f aca="false">COUNTIFS('Audit Request Log'!$D$3:$D$32,E8)</f>
        <v>2</v>
      </c>
    </row>
    <row r="9" customFormat="false" ht="15" hidden="false" customHeight="false" outlineLevel="0" collapsed="false">
      <c r="B9" s="7" t="s">
        <v>4</v>
      </c>
      <c r="C9" s="7" t="n">
        <f aca="false">COUNTIF('Audit Request Log'!$J$3:$J$32,"Overdue")</f>
        <v>2</v>
      </c>
      <c r="E9" s="7" t="s">
        <v>11</v>
      </c>
      <c r="F9" s="7" t="n">
        <f aca="false">COUNTIFS('Audit Request Log'!$D$3:$D$32,E9)</f>
        <v>1</v>
      </c>
    </row>
    <row r="10" customFormat="false" ht="15" hidden="false" customHeight="false" outlineLevel="0" collapsed="false">
      <c r="B10" s="7" t="s">
        <v>5</v>
      </c>
      <c r="C10" s="7" t="n">
        <f aca="false">COUNTIF('Audit Request Log'!$J$3:$J$32,"Due Soon")</f>
        <v>2</v>
      </c>
      <c r="E10" s="7" t="s">
        <v>12</v>
      </c>
      <c r="F10" s="7" t="n">
        <f aca="false">COUNTIFS('Audit Request Log'!$D$3:$D$32,E10)</f>
        <v>0</v>
      </c>
    </row>
    <row r="11" customFormat="false" ht="15" hidden="false" customHeight="false" outlineLevel="0" collapsed="false">
      <c r="B11" s="7" t="s">
        <v>6</v>
      </c>
      <c r="C11" s="7" t="n">
        <f aca="false">COUNTIF('Audit Request Log'!$J$3:$J$32,"On Track")</f>
        <v>2</v>
      </c>
      <c r="E11" s="7" t="s">
        <v>13</v>
      </c>
      <c r="F11" s="7" t="n">
        <f aca="false">COUNTIFS('Audit Request Log'!$D$3:$D$32,E11)</f>
        <v>3</v>
      </c>
    </row>
    <row r="12" customFormat="false" ht="15" hidden="false" customHeight="false" outlineLevel="0" collapsed="false">
      <c r="E12" s="7" t="s">
        <v>14</v>
      </c>
      <c r="F12" s="7" t="n">
        <f aca="false">COUNTIFS('Audit Request Log'!$D$3:$D$32,E12)</f>
        <v>1</v>
      </c>
    </row>
    <row r="13" customFormat="false" ht="15" hidden="false" customHeight="false" outlineLevel="0" collapsed="false">
      <c r="E13" s="7" t="s">
        <v>15</v>
      </c>
      <c r="F13" s="7" t="n">
        <f aca="false">COUNTIFS('Audit Request Log'!$D$3:$D$32,E13)</f>
        <v>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6" min="4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28"/>
  </cols>
  <sheetData>
    <row r="1" customFormat="false" ht="21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3.85" hidden="false" customHeight="false" outlineLevel="0" collapsed="false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28</v>
      </c>
    </row>
    <row r="3" customFormat="false" ht="15" hidden="false" customHeight="false" outlineLevel="0" collapsed="false">
      <c r="A3" s="9" t="s">
        <v>29</v>
      </c>
      <c r="B3" s="10" t="s">
        <v>30</v>
      </c>
      <c r="C3" s="9" t="s">
        <v>31</v>
      </c>
      <c r="D3" s="9" t="s">
        <v>14</v>
      </c>
      <c r="E3" s="9" t="s">
        <v>32</v>
      </c>
      <c r="F3" s="9" t="s">
        <v>33</v>
      </c>
      <c r="G3" s="11" t="n">
        <v>46224</v>
      </c>
      <c r="H3" s="11" t="n">
        <v>46235</v>
      </c>
      <c r="I3" s="9" t="s">
        <v>34</v>
      </c>
      <c r="J3" s="9" t="str">
        <f aca="true">IF(B3="","",IF(I3="Submitted","Submitted",IF(H3&lt;TODAY(),"Overdue",IF(H3-TODAY()&lt;=5,"Due Soon","On Track"))))</f>
        <v>Due Soon</v>
      </c>
      <c r="K3" s="9" t="n">
        <f aca="true">IF(B3="","",IF(I3="Submitted","-",H3-TODAY()))</f>
        <v>5</v>
      </c>
      <c r="L3" s="10" t="s">
        <v>35</v>
      </c>
    </row>
    <row r="4" customFormat="false" ht="15" hidden="false" customHeight="false" outlineLevel="0" collapsed="false">
      <c r="A4" s="9" t="s">
        <v>36</v>
      </c>
      <c r="B4" s="10" t="s">
        <v>37</v>
      </c>
      <c r="C4" s="9" t="s">
        <v>38</v>
      </c>
      <c r="D4" s="9" t="s">
        <v>10</v>
      </c>
      <c r="E4" s="9" t="s">
        <v>39</v>
      </c>
      <c r="F4" s="9" t="s">
        <v>40</v>
      </c>
      <c r="G4" s="11" t="n">
        <v>46220</v>
      </c>
      <c r="H4" s="11" t="n">
        <v>46228</v>
      </c>
      <c r="I4" s="9" t="s">
        <v>41</v>
      </c>
      <c r="J4" s="9" t="str">
        <f aca="true">IF(B4="","",IF(I4="Submitted","Submitted",IF(H4&lt;TODAY(),"Overdue",IF(H4-TODAY()&lt;=5,"Due Soon","On Track"))))</f>
        <v>Overdue</v>
      </c>
      <c r="K4" s="9" t="n">
        <f aca="true">IF(B4="","",IF(I4="Submitted","-",H4-TODAY()))</f>
        <v>-2</v>
      </c>
      <c r="L4" s="10"/>
    </row>
    <row r="5" customFormat="false" ht="15" hidden="false" customHeight="false" outlineLevel="0" collapsed="false">
      <c r="A5" s="9" t="s">
        <v>42</v>
      </c>
      <c r="B5" s="10" t="s">
        <v>43</v>
      </c>
      <c r="C5" s="9" t="s">
        <v>44</v>
      </c>
      <c r="D5" s="9" t="s">
        <v>13</v>
      </c>
      <c r="E5" s="9" t="s">
        <v>45</v>
      </c>
      <c r="F5" s="9" t="s">
        <v>46</v>
      </c>
      <c r="G5" s="11" t="n">
        <v>46226</v>
      </c>
      <c r="H5" s="11" t="n">
        <v>46240</v>
      </c>
      <c r="I5" s="9" t="s">
        <v>41</v>
      </c>
      <c r="J5" s="9" t="str">
        <f aca="true">IF(B5="","",IF(I5="Submitted","Submitted",IF(H5&lt;TODAY(),"Overdue",IF(H5-TODAY()&lt;=5,"Due Soon","On Track"))))</f>
        <v>On Track</v>
      </c>
      <c r="K5" s="9" t="n">
        <f aca="true">IF(B5="","",IF(I5="Submitted","-",H5-TODAY()))</f>
        <v>10</v>
      </c>
      <c r="L5" s="10"/>
    </row>
    <row r="6" customFormat="false" ht="15" hidden="false" customHeight="false" outlineLevel="0" collapsed="false">
      <c r="A6" s="9" t="s">
        <v>47</v>
      </c>
      <c r="B6" s="10" t="s">
        <v>48</v>
      </c>
      <c r="C6" s="9" t="s">
        <v>49</v>
      </c>
      <c r="D6" s="9" t="s">
        <v>13</v>
      </c>
      <c r="E6" s="9" t="s">
        <v>50</v>
      </c>
      <c r="F6" s="9" t="s">
        <v>51</v>
      </c>
      <c r="G6" s="11" t="n">
        <v>46222</v>
      </c>
      <c r="H6" s="11" t="n">
        <v>46229</v>
      </c>
      <c r="I6" s="9" t="s">
        <v>34</v>
      </c>
      <c r="J6" s="9" t="str">
        <f aca="true">IF(B6="","",IF(I6="Submitted","Submitted",IF(H6&lt;TODAY(),"Overdue",IF(H6-TODAY()&lt;=5,"Due Soon","On Track"))))</f>
        <v>Overdue</v>
      </c>
      <c r="K6" s="9" t="n">
        <f aca="true">IF(B6="","",IF(I6="Submitted","-",H6-TODAY()))</f>
        <v>-1</v>
      </c>
      <c r="L6" s="10"/>
    </row>
    <row r="7" customFormat="false" ht="15" hidden="false" customHeight="false" outlineLevel="0" collapsed="false">
      <c r="A7" s="9" t="s">
        <v>52</v>
      </c>
      <c r="B7" s="10" t="s">
        <v>53</v>
      </c>
      <c r="C7" s="9" t="s">
        <v>44</v>
      </c>
      <c r="D7" s="9" t="s">
        <v>10</v>
      </c>
      <c r="E7" s="9" t="s">
        <v>54</v>
      </c>
      <c r="F7" s="9" t="s">
        <v>55</v>
      </c>
      <c r="G7" s="11" t="n">
        <v>46210</v>
      </c>
      <c r="H7" s="11" t="n">
        <v>46250</v>
      </c>
      <c r="I7" s="9" t="s">
        <v>3</v>
      </c>
      <c r="J7" s="9" t="str">
        <f aca="true">IF(B7="","",IF(I7="Submitted","Submitted",IF(H7&lt;TODAY(),"Overdue",IF(H7-TODAY()&lt;=5,"Due Soon","On Track"))))</f>
        <v>Submitted</v>
      </c>
      <c r="K7" s="9" t="str">
        <f aca="true">IF(B7="","",IF(I7="Submitted","-",H7-TODAY()))</f>
        <v>-</v>
      </c>
      <c r="L7" s="10" t="s">
        <v>56</v>
      </c>
    </row>
    <row r="8" customFormat="false" ht="15" hidden="false" customHeight="false" outlineLevel="0" collapsed="false">
      <c r="A8" s="9" t="s">
        <v>57</v>
      </c>
      <c r="B8" s="10" t="s">
        <v>58</v>
      </c>
      <c r="C8" s="9" t="s">
        <v>38</v>
      </c>
      <c r="D8" s="9" t="s">
        <v>13</v>
      </c>
      <c r="E8" s="9" t="s">
        <v>59</v>
      </c>
      <c r="F8" s="9" t="s">
        <v>60</v>
      </c>
      <c r="G8" s="11" t="n">
        <v>46227</v>
      </c>
      <c r="H8" s="11" t="n">
        <v>46233</v>
      </c>
      <c r="I8" s="9" t="s">
        <v>3</v>
      </c>
      <c r="J8" s="9" t="str">
        <f aca="true">IF(B8="","",IF(I8="Submitted","Submitted",IF(H8&lt;TODAY(),"Overdue",IF(H8-TODAY()&lt;=5,"Due Soon","On Track"))))</f>
        <v>Submitted</v>
      </c>
      <c r="K8" s="9" t="str">
        <f aca="true">IF(B8="","",IF(I8="Submitted","-",H8-TODAY()))</f>
        <v>-</v>
      </c>
      <c r="L8" s="10"/>
    </row>
    <row r="9" customFormat="false" ht="15" hidden="false" customHeight="false" outlineLevel="0" collapsed="false">
      <c r="A9" s="9" t="s">
        <v>61</v>
      </c>
      <c r="B9" s="10" t="s">
        <v>62</v>
      </c>
      <c r="C9" s="9" t="s">
        <v>49</v>
      </c>
      <c r="D9" s="9" t="s">
        <v>15</v>
      </c>
      <c r="E9" s="9" t="s">
        <v>63</v>
      </c>
      <c r="F9" s="9" t="s">
        <v>64</v>
      </c>
      <c r="G9" s="11" t="n">
        <v>46215</v>
      </c>
      <c r="H9" s="11" t="n">
        <v>46231</v>
      </c>
      <c r="I9" s="9" t="s">
        <v>34</v>
      </c>
      <c r="J9" s="9" t="str">
        <f aca="true">IF(B9="","",IF(I9="Submitted","Submitted",IF(H9&lt;TODAY(),"Overdue",IF(H9-TODAY()&lt;=5,"Due Soon","On Track"))))</f>
        <v>Due Soon</v>
      </c>
      <c r="K9" s="9" t="n">
        <f aca="true">IF(B9="","",IF(I9="Submitted","-",H9-TODAY()))</f>
        <v>1</v>
      </c>
      <c r="L9" s="10"/>
    </row>
    <row r="10" customFormat="false" ht="15" hidden="false" customHeight="false" outlineLevel="0" collapsed="false">
      <c r="A10" s="9" t="s">
        <v>65</v>
      </c>
      <c r="B10" s="10" t="s">
        <v>66</v>
      </c>
      <c r="C10" s="9" t="s">
        <v>44</v>
      </c>
      <c r="D10" s="9" t="s">
        <v>11</v>
      </c>
      <c r="E10" s="9" t="s">
        <v>67</v>
      </c>
      <c r="F10" s="9" t="s">
        <v>68</v>
      </c>
      <c r="G10" s="11" t="n">
        <v>46223</v>
      </c>
      <c r="H10" s="11" t="n">
        <v>46245</v>
      </c>
      <c r="I10" s="9" t="s">
        <v>41</v>
      </c>
      <c r="J10" s="9" t="str">
        <f aca="true">IF(B10="","",IF(I10="Submitted","Submitted",IF(H10&lt;TODAY(),"Overdue",IF(H10-TODAY()&lt;=5,"Due Soon","On Track"))))</f>
        <v>On Track</v>
      </c>
      <c r="K10" s="9" t="n">
        <f aca="true">IF(B10="","",IF(I10="Submitted","-",H10-TODAY()))</f>
        <v>15</v>
      </c>
      <c r="L10" s="10"/>
    </row>
    <row r="11" customFormat="false" ht="15" hidden="false" customHeight="false" outlineLevel="0" collapsed="false">
      <c r="A11" s="9"/>
      <c r="B11" s="10"/>
      <c r="C11" s="9"/>
      <c r="D11" s="9"/>
      <c r="E11" s="9"/>
      <c r="F11" s="9"/>
      <c r="G11" s="9"/>
      <c r="H11" s="9"/>
      <c r="I11" s="9"/>
      <c r="J11" s="9" t="str">
        <f aca="true">IF(B11="","",IF(I11="Submitted","Submitted",IF(H11&lt;TODAY(),"Overdue",IF(H11-TODAY()&lt;=5,"Due Soon","On Track"))))</f>
        <v/>
      </c>
      <c r="K11" s="9" t="str">
        <f aca="true">IF(B11="","",IF(I11="Submitted","-",H11-TODAY()))</f>
        <v/>
      </c>
      <c r="L11" s="10"/>
    </row>
    <row r="12" customFormat="false" ht="15" hidden="false" customHeight="false" outlineLevel="0" collapsed="false">
      <c r="A12" s="9"/>
      <c r="B12" s="10"/>
      <c r="C12" s="9"/>
      <c r="D12" s="9"/>
      <c r="E12" s="9"/>
      <c r="F12" s="9"/>
      <c r="G12" s="9"/>
      <c r="H12" s="9"/>
      <c r="I12" s="9"/>
      <c r="J12" s="9" t="str">
        <f aca="true">IF(B12="","",IF(I12="Submitted","Submitted",IF(H12&lt;TODAY(),"Overdue",IF(H12-TODAY()&lt;=5,"Due Soon","On Track"))))</f>
        <v/>
      </c>
      <c r="K12" s="9" t="str">
        <f aca="true">IF(B12="","",IF(I12="Submitted","-",H12-TODAY()))</f>
        <v/>
      </c>
      <c r="L12" s="10"/>
    </row>
    <row r="13" customFormat="false" ht="15" hidden="false" customHeight="false" outlineLevel="0" collapsed="false">
      <c r="A13" s="9"/>
      <c r="B13" s="10"/>
      <c r="C13" s="9"/>
      <c r="D13" s="9"/>
      <c r="E13" s="9"/>
      <c r="F13" s="9"/>
      <c r="G13" s="9"/>
      <c r="H13" s="9"/>
      <c r="I13" s="9"/>
      <c r="J13" s="9" t="str">
        <f aca="true">IF(B13="","",IF(I13="Submitted","Submitted",IF(H13&lt;TODAY(),"Overdue",IF(H13-TODAY()&lt;=5,"Due Soon","On Track"))))</f>
        <v/>
      </c>
      <c r="K13" s="9" t="str">
        <f aca="true">IF(B13="","",IF(I13="Submitted","-",H13-TODAY()))</f>
        <v/>
      </c>
      <c r="L13" s="10"/>
    </row>
    <row r="14" customFormat="false" ht="15" hidden="false" customHeight="false" outlineLevel="0" collapsed="false">
      <c r="A14" s="9"/>
      <c r="B14" s="10"/>
      <c r="C14" s="9"/>
      <c r="D14" s="9"/>
      <c r="E14" s="9"/>
      <c r="F14" s="9"/>
      <c r="G14" s="9"/>
      <c r="H14" s="9"/>
      <c r="I14" s="9"/>
      <c r="J14" s="9" t="str">
        <f aca="true">IF(B14="","",IF(I14="Submitted","Submitted",IF(H14&lt;TODAY(),"Overdue",IF(H14-TODAY()&lt;=5,"Due Soon","On Track"))))</f>
        <v/>
      </c>
      <c r="K14" s="9" t="str">
        <f aca="true">IF(B14="","",IF(I14="Submitted","-",H14-TODAY()))</f>
        <v/>
      </c>
      <c r="L14" s="10"/>
    </row>
    <row r="15" customFormat="false" ht="15" hidden="false" customHeight="false" outlineLevel="0" collapsed="false">
      <c r="A15" s="9"/>
      <c r="B15" s="10"/>
      <c r="C15" s="9"/>
      <c r="D15" s="9"/>
      <c r="E15" s="9"/>
      <c r="F15" s="9"/>
      <c r="G15" s="9"/>
      <c r="H15" s="9"/>
      <c r="I15" s="9"/>
      <c r="J15" s="9" t="str">
        <f aca="true">IF(B15="","",IF(I15="Submitted","Submitted",IF(H15&lt;TODAY(),"Overdue",IF(H15-TODAY()&lt;=5,"Due Soon","On Track"))))</f>
        <v/>
      </c>
      <c r="K15" s="9" t="str">
        <f aca="true">IF(B15="","",IF(I15="Submitted","-",H15-TODAY()))</f>
        <v/>
      </c>
      <c r="L15" s="10"/>
    </row>
    <row r="16" customFormat="false" ht="15" hidden="false" customHeight="false" outlineLevel="0" collapsed="false">
      <c r="A16" s="9"/>
      <c r="B16" s="10"/>
      <c r="C16" s="9"/>
      <c r="D16" s="9"/>
      <c r="E16" s="9"/>
      <c r="F16" s="9"/>
      <c r="G16" s="9"/>
      <c r="H16" s="9"/>
      <c r="I16" s="9"/>
      <c r="J16" s="9" t="str">
        <f aca="true">IF(B16="","",IF(I16="Submitted","Submitted",IF(H16&lt;TODAY(),"Overdue",IF(H16-TODAY()&lt;=5,"Due Soon","On Track"))))</f>
        <v/>
      </c>
      <c r="K16" s="9" t="str">
        <f aca="true">IF(B16="","",IF(I16="Submitted","-",H16-TODAY()))</f>
        <v/>
      </c>
      <c r="L16" s="10"/>
    </row>
    <row r="17" customFormat="false" ht="15" hidden="false" customHeight="false" outlineLevel="0" collapsed="false">
      <c r="A17" s="9"/>
      <c r="B17" s="10"/>
      <c r="C17" s="9"/>
      <c r="D17" s="9"/>
      <c r="E17" s="9"/>
      <c r="F17" s="9"/>
      <c r="G17" s="9"/>
      <c r="H17" s="9"/>
      <c r="I17" s="9"/>
      <c r="J17" s="9" t="str">
        <f aca="true">IF(B17="","",IF(I17="Submitted","Submitted",IF(H17&lt;TODAY(),"Overdue",IF(H17-TODAY()&lt;=5,"Due Soon","On Track"))))</f>
        <v/>
      </c>
      <c r="K17" s="9" t="str">
        <f aca="true">IF(B17="","",IF(I17="Submitted","-",H17-TODAY()))</f>
        <v/>
      </c>
      <c r="L17" s="10"/>
    </row>
    <row r="18" customFormat="false" ht="15" hidden="false" customHeight="false" outlineLevel="0" collapsed="false">
      <c r="A18" s="9"/>
      <c r="B18" s="10"/>
      <c r="C18" s="9"/>
      <c r="D18" s="9"/>
      <c r="E18" s="9"/>
      <c r="F18" s="9"/>
      <c r="G18" s="9"/>
      <c r="H18" s="9"/>
      <c r="I18" s="9"/>
      <c r="J18" s="9" t="str">
        <f aca="true">IF(B18="","",IF(I18="Submitted","Submitted",IF(H18&lt;TODAY(),"Overdue",IF(H18-TODAY()&lt;=5,"Due Soon","On Track"))))</f>
        <v/>
      </c>
      <c r="K18" s="9" t="str">
        <f aca="true">IF(B18="","",IF(I18="Submitted","-",H18-TODAY()))</f>
        <v/>
      </c>
      <c r="L18" s="10"/>
    </row>
    <row r="19" customFormat="false" ht="15" hidden="false" customHeight="false" outlineLevel="0" collapsed="false">
      <c r="A19" s="9"/>
      <c r="B19" s="10"/>
      <c r="C19" s="9"/>
      <c r="D19" s="9"/>
      <c r="E19" s="9"/>
      <c r="F19" s="9"/>
      <c r="G19" s="9"/>
      <c r="H19" s="9"/>
      <c r="I19" s="9"/>
      <c r="J19" s="9" t="str">
        <f aca="true">IF(B19="","",IF(I19="Submitted","Submitted",IF(H19&lt;TODAY(),"Overdue",IF(H19-TODAY()&lt;=5,"Due Soon","On Track"))))</f>
        <v/>
      </c>
      <c r="K19" s="9" t="str">
        <f aca="true">IF(B19="","",IF(I19="Submitted","-",H19-TODAY()))</f>
        <v/>
      </c>
      <c r="L19" s="10"/>
    </row>
    <row r="20" customFormat="false" ht="15" hidden="false" customHeight="false" outlineLevel="0" collapsed="false">
      <c r="A20" s="9"/>
      <c r="B20" s="10"/>
      <c r="C20" s="9"/>
      <c r="D20" s="9"/>
      <c r="E20" s="9"/>
      <c r="F20" s="9"/>
      <c r="G20" s="9"/>
      <c r="H20" s="9"/>
      <c r="I20" s="9"/>
      <c r="J20" s="9" t="str">
        <f aca="true">IF(B20="","",IF(I20="Submitted","Submitted",IF(H20&lt;TODAY(),"Overdue",IF(H20-TODAY()&lt;=5,"Due Soon","On Track"))))</f>
        <v/>
      </c>
      <c r="K20" s="9" t="str">
        <f aca="true">IF(B20="","",IF(I20="Submitted","-",H20-TODAY()))</f>
        <v/>
      </c>
      <c r="L20" s="10"/>
    </row>
    <row r="21" customFormat="false" ht="15" hidden="false" customHeight="false" outlineLevel="0" collapsed="false">
      <c r="A21" s="9"/>
      <c r="B21" s="10"/>
      <c r="C21" s="9"/>
      <c r="D21" s="9"/>
      <c r="E21" s="9"/>
      <c r="F21" s="9"/>
      <c r="G21" s="9"/>
      <c r="H21" s="9"/>
      <c r="I21" s="9"/>
      <c r="J21" s="9" t="str">
        <f aca="true">IF(B21="","",IF(I21="Submitted","Submitted",IF(H21&lt;TODAY(),"Overdue",IF(H21-TODAY()&lt;=5,"Due Soon","On Track"))))</f>
        <v/>
      </c>
      <c r="K21" s="9" t="str">
        <f aca="true">IF(B21="","",IF(I21="Submitted","-",H21-TODAY()))</f>
        <v/>
      </c>
      <c r="L21" s="10"/>
    </row>
    <row r="22" customFormat="false" ht="15" hidden="false" customHeight="false" outlineLevel="0" collapsed="false">
      <c r="A22" s="9"/>
      <c r="B22" s="10"/>
      <c r="C22" s="9"/>
      <c r="D22" s="9"/>
      <c r="E22" s="9"/>
      <c r="F22" s="9"/>
      <c r="G22" s="9"/>
      <c r="H22" s="9"/>
      <c r="I22" s="9"/>
      <c r="J22" s="9" t="str">
        <f aca="true">IF(B22="","",IF(I22="Submitted","Submitted",IF(H22&lt;TODAY(),"Overdue",IF(H22-TODAY()&lt;=5,"Due Soon","On Track"))))</f>
        <v/>
      </c>
      <c r="K22" s="9" t="str">
        <f aca="true">IF(B22="","",IF(I22="Submitted","-",H22-TODAY()))</f>
        <v/>
      </c>
      <c r="L22" s="10"/>
    </row>
    <row r="23" customFormat="false" ht="15" hidden="false" customHeight="false" outlineLevel="0" collapsed="false">
      <c r="A23" s="9"/>
      <c r="B23" s="10"/>
      <c r="C23" s="9"/>
      <c r="D23" s="9"/>
      <c r="E23" s="9"/>
      <c r="F23" s="9"/>
      <c r="G23" s="9"/>
      <c r="H23" s="9"/>
      <c r="I23" s="9"/>
      <c r="J23" s="9" t="str">
        <f aca="true">IF(B23="","",IF(I23="Submitted","Submitted",IF(H23&lt;TODAY(),"Overdue",IF(H23-TODAY()&lt;=5,"Due Soon","On Track"))))</f>
        <v/>
      </c>
      <c r="K23" s="9" t="str">
        <f aca="true">IF(B23="","",IF(I23="Submitted","-",H23-TODAY()))</f>
        <v/>
      </c>
      <c r="L23" s="10"/>
    </row>
    <row r="24" customFormat="false" ht="15" hidden="false" customHeight="false" outlineLevel="0" collapsed="false">
      <c r="A24" s="9"/>
      <c r="B24" s="10"/>
      <c r="C24" s="9"/>
      <c r="D24" s="9"/>
      <c r="E24" s="9"/>
      <c r="F24" s="9"/>
      <c r="G24" s="9"/>
      <c r="H24" s="9"/>
      <c r="I24" s="9"/>
      <c r="J24" s="9" t="str">
        <f aca="true">IF(B24="","",IF(I24="Submitted","Submitted",IF(H24&lt;TODAY(),"Overdue",IF(H24-TODAY()&lt;=5,"Due Soon","On Track"))))</f>
        <v/>
      </c>
      <c r="K24" s="9" t="str">
        <f aca="true">IF(B24="","",IF(I24="Submitted","-",H24-TODAY()))</f>
        <v/>
      </c>
      <c r="L24" s="10"/>
    </row>
    <row r="25" customFormat="false" ht="15" hidden="false" customHeight="false" outlineLevel="0" collapsed="false">
      <c r="A25" s="9"/>
      <c r="B25" s="10"/>
      <c r="C25" s="9"/>
      <c r="D25" s="9"/>
      <c r="E25" s="9"/>
      <c r="F25" s="9"/>
      <c r="G25" s="9"/>
      <c r="H25" s="9"/>
      <c r="I25" s="9"/>
      <c r="J25" s="9" t="str">
        <f aca="true">IF(B25="","",IF(I25="Submitted","Submitted",IF(H25&lt;TODAY(),"Overdue",IF(H25-TODAY()&lt;=5,"Due Soon","On Track"))))</f>
        <v/>
      </c>
      <c r="K25" s="9" t="str">
        <f aca="true">IF(B25="","",IF(I25="Submitted","-",H25-TODAY()))</f>
        <v/>
      </c>
      <c r="L25" s="10"/>
    </row>
    <row r="26" customFormat="false" ht="15" hidden="false" customHeight="false" outlineLevel="0" collapsed="false">
      <c r="A26" s="9"/>
      <c r="B26" s="10"/>
      <c r="C26" s="9"/>
      <c r="D26" s="9"/>
      <c r="E26" s="9"/>
      <c r="F26" s="9"/>
      <c r="G26" s="9"/>
      <c r="H26" s="9"/>
      <c r="I26" s="9"/>
      <c r="J26" s="9" t="str">
        <f aca="true">IF(B26="","",IF(I26="Submitted","Submitted",IF(H26&lt;TODAY(),"Overdue",IF(H26-TODAY()&lt;=5,"Due Soon","On Track"))))</f>
        <v/>
      </c>
      <c r="K26" s="9" t="str">
        <f aca="true">IF(B26="","",IF(I26="Submitted","-",H26-TODAY()))</f>
        <v/>
      </c>
      <c r="L26" s="10"/>
    </row>
    <row r="27" customFormat="false" ht="15" hidden="false" customHeight="false" outlineLevel="0" collapsed="false">
      <c r="A27" s="9"/>
      <c r="B27" s="10"/>
      <c r="C27" s="9"/>
      <c r="D27" s="9"/>
      <c r="E27" s="9"/>
      <c r="F27" s="9"/>
      <c r="G27" s="9"/>
      <c r="H27" s="9"/>
      <c r="I27" s="9"/>
      <c r="J27" s="9" t="str">
        <f aca="true">IF(B27="","",IF(I27="Submitted","Submitted",IF(H27&lt;TODAY(),"Overdue",IF(H27-TODAY()&lt;=5,"Due Soon","On Track"))))</f>
        <v/>
      </c>
      <c r="K27" s="9" t="str">
        <f aca="true">IF(B27="","",IF(I27="Submitted","-",H27-TODAY()))</f>
        <v/>
      </c>
      <c r="L27" s="10"/>
    </row>
    <row r="28" customFormat="false" ht="15" hidden="false" customHeight="false" outlineLevel="0" collapsed="false">
      <c r="A28" s="9"/>
      <c r="B28" s="10"/>
      <c r="C28" s="9"/>
      <c r="D28" s="9"/>
      <c r="E28" s="9"/>
      <c r="F28" s="9"/>
      <c r="G28" s="9"/>
      <c r="H28" s="9"/>
      <c r="I28" s="9"/>
      <c r="J28" s="9" t="str">
        <f aca="true">IF(B28="","",IF(I28="Submitted","Submitted",IF(H28&lt;TODAY(),"Overdue",IF(H28-TODAY()&lt;=5,"Due Soon","On Track"))))</f>
        <v/>
      </c>
      <c r="K28" s="9" t="str">
        <f aca="true">IF(B28="","",IF(I28="Submitted","-",H28-TODAY()))</f>
        <v/>
      </c>
      <c r="L28" s="10"/>
    </row>
    <row r="29" customFormat="false" ht="15" hidden="false" customHeight="false" outlineLevel="0" collapsed="false">
      <c r="A29" s="9"/>
      <c r="B29" s="10"/>
      <c r="C29" s="9"/>
      <c r="D29" s="9"/>
      <c r="E29" s="9"/>
      <c r="F29" s="9"/>
      <c r="G29" s="9"/>
      <c r="H29" s="9"/>
      <c r="I29" s="9"/>
      <c r="J29" s="9" t="str">
        <f aca="true">IF(B29="","",IF(I29="Submitted","Submitted",IF(H29&lt;TODAY(),"Overdue",IF(H29-TODAY()&lt;=5,"Due Soon","On Track"))))</f>
        <v/>
      </c>
      <c r="K29" s="9" t="str">
        <f aca="true">IF(B29="","",IF(I29="Submitted","-",H29-TODAY()))</f>
        <v/>
      </c>
      <c r="L29" s="10"/>
    </row>
    <row r="30" customFormat="false" ht="15" hidden="false" customHeight="false" outlineLevel="0" collapsed="false">
      <c r="A30" s="9"/>
      <c r="B30" s="10"/>
      <c r="C30" s="9"/>
      <c r="D30" s="9"/>
      <c r="E30" s="9"/>
      <c r="F30" s="9"/>
      <c r="G30" s="9"/>
      <c r="H30" s="9"/>
      <c r="I30" s="9"/>
      <c r="J30" s="9" t="str">
        <f aca="true">IF(B30="","",IF(I30="Submitted","Submitted",IF(H30&lt;TODAY(),"Overdue",IF(H30-TODAY()&lt;=5,"Due Soon","On Track"))))</f>
        <v/>
      </c>
      <c r="K30" s="9" t="str">
        <f aca="true">IF(B30="","",IF(I30="Submitted","-",H30-TODAY()))</f>
        <v/>
      </c>
      <c r="L30" s="10"/>
    </row>
    <row r="31" customFormat="false" ht="15" hidden="false" customHeight="false" outlineLevel="0" collapsed="false">
      <c r="A31" s="9"/>
      <c r="B31" s="10"/>
      <c r="C31" s="9"/>
      <c r="D31" s="9"/>
      <c r="E31" s="9"/>
      <c r="F31" s="9"/>
      <c r="G31" s="9"/>
      <c r="H31" s="9"/>
      <c r="I31" s="9"/>
      <c r="J31" s="9" t="str">
        <f aca="true">IF(B31="","",IF(I31="Submitted","Submitted",IF(H31&lt;TODAY(),"Overdue",IF(H31-TODAY()&lt;=5,"Due Soon","On Track"))))</f>
        <v/>
      </c>
      <c r="K31" s="9" t="str">
        <f aca="true">IF(B31="","",IF(I31="Submitted","-",H31-TODAY()))</f>
        <v/>
      </c>
      <c r="L31" s="10"/>
    </row>
    <row r="32" customFormat="false" ht="15" hidden="false" customHeight="false" outlineLevel="0" collapsed="false">
      <c r="A32" s="9"/>
      <c r="B32" s="10"/>
      <c r="C32" s="9"/>
      <c r="D32" s="9"/>
      <c r="E32" s="9"/>
      <c r="F32" s="9"/>
      <c r="G32" s="9"/>
      <c r="H32" s="9"/>
      <c r="I32" s="9"/>
      <c r="J32" s="9" t="str">
        <f aca="true">IF(B32="","",IF(I32="Submitted","Submitted",IF(H32&lt;TODAY(),"Overdue",IF(H32-TODAY()&lt;=5,"Due Soon","On Track"))))</f>
        <v/>
      </c>
      <c r="K32" s="9" t="str">
        <f aca="true">IF(B32="","",IF(I32="Submitted","-",H32-TODAY()))</f>
        <v/>
      </c>
      <c r="L32" s="10"/>
    </row>
  </sheetData>
  <mergeCells count="1">
    <mergeCell ref="A1:L1"/>
  </mergeCells>
  <conditionalFormatting sqref="J3:J32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2">
      <formula>"Submitted"</formula>
    </cfRule>
    <cfRule type="cellIs" priority="5" operator="equal" aboveAverage="0" equalAverage="0" bottom="0" percent="0" rank="0" text="" dxfId="3">
      <formula>"On Track"</formula>
    </cfRule>
  </conditionalFormatting>
  <dataValidations count="2">
    <dataValidation allowBlank="true" errorStyle="stop" operator="between" showDropDown="false" showErrorMessage="false" showInputMessage="false" sqref="I3:I32" type="list">
      <formula1>"Not Started,In Progress,Submitted"</formula1>
      <formula2>0</formula2>
    </dataValidation>
    <dataValidation allowBlank="true" errorStyle="stop" operator="between" showDropDown="false" showErrorMessage="false" showInputMessage="false" sqref="D3:D32" type="list">
      <formula1>"Organizational Controls,People Controls,Physical Controls,Technological Controls,Access Management,Business Impact &amp;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1" t="s">
        <v>69</v>
      </c>
      <c r="B1" s="1"/>
      <c r="C1" s="1"/>
      <c r="D1" s="1"/>
      <c r="E1" s="1"/>
    </row>
    <row r="2" customFormat="false" ht="15" hidden="false" customHeight="false" outlineLevel="0" collapsed="false">
      <c r="A2" s="8" t="s">
        <v>70</v>
      </c>
      <c r="B2" s="8" t="s">
        <v>71</v>
      </c>
      <c r="C2" s="8" t="s">
        <v>72</v>
      </c>
      <c r="D2" s="8" t="s">
        <v>73</v>
      </c>
      <c r="E2" s="8" t="s">
        <v>74</v>
      </c>
    </row>
    <row r="3" customFormat="false" ht="23.85" hidden="false" customHeight="false" outlineLevel="0" collapsed="false">
      <c r="A3" s="9" t="s">
        <v>75</v>
      </c>
      <c r="B3" s="9" t="s">
        <v>10</v>
      </c>
      <c r="C3" s="9" t="s">
        <v>76</v>
      </c>
      <c r="D3" s="9" t="s">
        <v>77</v>
      </c>
      <c r="E3" s="10" t="s">
        <v>78</v>
      </c>
    </row>
    <row r="4" customFormat="false" ht="15" hidden="false" customHeight="false" outlineLevel="0" collapsed="false">
      <c r="A4" s="9" t="s">
        <v>79</v>
      </c>
      <c r="B4" s="9" t="s">
        <v>10</v>
      </c>
      <c r="C4" s="9" t="s">
        <v>80</v>
      </c>
      <c r="D4" s="9" t="s">
        <v>81</v>
      </c>
      <c r="E4" s="10" t="s">
        <v>82</v>
      </c>
    </row>
    <row r="5" customFormat="false" ht="23.85" hidden="false" customHeight="false" outlineLevel="0" collapsed="false">
      <c r="A5" s="9" t="s">
        <v>54</v>
      </c>
      <c r="B5" s="9" t="s">
        <v>10</v>
      </c>
      <c r="C5" s="9" t="s">
        <v>80</v>
      </c>
      <c r="D5" s="9" t="s">
        <v>83</v>
      </c>
      <c r="E5" s="10" t="s">
        <v>84</v>
      </c>
    </row>
    <row r="6" customFormat="false" ht="23.85" hidden="false" customHeight="false" outlineLevel="0" collapsed="false">
      <c r="A6" s="9" t="s">
        <v>85</v>
      </c>
      <c r="B6" s="9" t="s">
        <v>10</v>
      </c>
      <c r="C6" s="9" t="s">
        <v>86</v>
      </c>
      <c r="D6" s="9" t="s">
        <v>87</v>
      </c>
      <c r="E6" s="10" t="s">
        <v>88</v>
      </c>
    </row>
    <row r="7" customFormat="false" ht="23.85" hidden="false" customHeight="false" outlineLevel="0" collapsed="false">
      <c r="A7" s="9" t="s">
        <v>39</v>
      </c>
      <c r="B7" s="9" t="s">
        <v>10</v>
      </c>
      <c r="C7" s="9" t="s">
        <v>89</v>
      </c>
      <c r="D7" s="9" t="s">
        <v>90</v>
      </c>
      <c r="E7" s="10" t="s">
        <v>91</v>
      </c>
    </row>
    <row r="8" customFormat="false" ht="15" hidden="false" customHeight="false" outlineLevel="0" collapsed="false">
      <c r="A8" s="9" t="s">
        <v>92</v>
      </c>
      <c r="B8" s="9" t="s">
        <v>10</v>
      </c>
      <c r="C8" s="9" t="s">
        <v>93</v>
      </c>
      <c r="D8" s="9" t="s">
        <v>94</v>
      </c>
      <c r="E8" s="10" t="s">
        <v>95</v>
      </c>
    </row>
    <row r="9" customFormat="false" ht="15" hidden="false" customHeight="false" outlineLevel="0" collapsed="false">
      <c r="A9" s="9" t="s">
        <v>96</v>
      </c>
      <c r="B9" s="9" t="s">
        <v>10</v>
      </c>
      <c r="C9" s="9" t="s">
        <v>97</v>
      </c>
      <c r="D9" s="9" t="s">
        <v>98</v>
      </c>
      <c r="E9" s="10" t="s">
        <v>99</v>
      </c>
    </row>
    <row r="10" customFormat="false" ht="15" hidden="false" customHeight="false" outlineLevel="0" collapsed="false">
      <c r="A10" s="9" t="s">
        <v>100</v>
      </c>
      <c r="B10" s="9" t="s">
        <v>10</v>
      </c>
      <c r="C10" s="9" t="s">
        <v>101</v>
      </c>
      <c r="D10" s="9" t="s">
        <v>102</v>
      </c>
      <c r="E10" s="10" t="s">
        <v>103</v>
      </c>
    </row>
    <row r="11" customFormat="false" ht="15" hidden="false" customHeight="false" outlineLevel="0" collapsed="false">
      <c r="A11" s="9" t="s">
        <v>67</v>
      </c>
      <c r="B11" s="9" t="s">
        <v>11</v>
      </c>
      <c r="C11" s="9" t="s">
        <v>104</v>
      </c>
      <c r="D11" s="9" t="s">
        <v>105</v>
      </c>
      <c r="E11" s="10" t="s">
        <v>106</v>
      </c>
    </row>
    <row r="12" customFormat="false" ht="15" hidden="false" customHeight="false" outlineLevel="0" collapsed="false">
      <c r="A12" s="9" t="s">
        <v>107</v>
      </c>
      <c r="B12" s="9" t="s">
        <v>11</v>
      </c>
      <c r="C12" s="9" t="s">
        <v>104</v>
      </c>
      <c r="D12" s="9" t="s">
        <v>108</v>
      </c>
      <c r="E12" s="10" t="s">
        <v>109</v>
      </c>
    </row>
    <row r="13" customFormat="false" ht="23.85" hidden="false" customHeight="false" outlineLevel="0" collapsed="false">
      <c r="A13" s="9" t="s">
        <v>110</v>
      </c>
      <c r="B13" s="9" t="s">
        <v>12</v>
      </c>
      <c r="C13" s="9" t="s">
        <v>111</v>
      </c>
      <c r="D13" s="9" t="s">
        <v>112</v>
      </c>
      <c r="E13" s="10" t="s">
        <v>113</v>
      </c>
    </row>
    <row r="14" customFormat="false" ht="15" hidden="false" customHeight="false" outlineLevel="0" collapsed="false">
      <c r="A14" s="9" t="s">
        <v>114</v>
      </c>
      <c r="B14" s="9" t="s">
        <v>13</v>
      </c>
      <c r="C14" s="9" t="s">
        <v>86</v>
      </c>
      <c r="D14" s="9" t="s">
        <v>115</v>
      </c>
      <c r="E14" s="10" t="s">
        <v>116</v>
      </c>
    </row>
    <row r="15" customFormat="false" ht="15" hidden="false" customHeight="false" outlineLevel="0" collapsed="false">
      <c r="A15" s="9" t="s">
        <v>45</v>
      </c>
      <c r="B15" s="9" t="s">
        <v>13</v>
      </c>
      <c r="C15" s="9" t="s">
        <v>117</v>
      </c>
      <c r="D15" s="9" t="s">
        <v>118</v>
      </c>
      <c r="E15" s="10" t="s">
        <v>119</v>
      </c>
    </row>
    <row r="16" customFormat="false" ht="15" hidden="false" customHeight="false" outlineLevel="0" collapsed="false">
      <c r="A16" s="9" t="s">
        <v>120</v>
      </c>
      <c r="B16" s="9" t="s">
        <v>13</v>
      </c>
      <c r="C16" s="9" t="s">
        <v>121</v>
      </c>
      <c r="D16" s="9" t="s">
        <v>122</v>
      </c>
      <c r="E16" s="10" t="s">
        <v>123</v>
      </c>
    </row>
    <row r="17" customFormat="false" ht="23.85" hidden="false" customHeight="false" outlineLevel="0" collapsed="false">
      <c r="A17" s="9" t="s">
        <v>59</v>
      </c>
      <c r="B17" s="9" t="s">
        <v>13</v>
      </c>
      <c r="C17" s="9" t="s">
        <v>86</v>
      </c>
      <c r="D17" s="9" t="s">
        <v>124</v>
      </c>
      <c r="E17" s="10" t="s">
        <v>125</v>
      </c>
    </row>
    <row r="18" customFormat="false" ht="15" hidden="false" customHeight="false" outlineLevel="0" collapsed="false">
      <c r="A18" s="9" t="s">
        <v>126</v>
      </c>
      <c r="B18" s="9" t="s">
        <v>13</v>
      </c>
      <c r="C18" s="9" t="s">
        <v>86</v>
      </c>
      <c r="D18" s="9" t="s">
        <v>127</v>
      </c>
      <c r="E18" s="10" t="s">
        <v>128</v>
      </c>
    </row>
    <row r="19" customFormat="false" ht="23.85" hidden="false" customHeight="false" outlineLevel="0" collapsed="false">
      <c r="A19" s="9" t="s">
        <v>129</v>
      </c>
      <c r="B19" s="9" t="s">
        <v>13</v>
      </c>
      <c r="C19" s="9" t="s">
        <v>86</v>
      </c>
      <c r="D19" s="9" t="s">
        <v>130</v>
      </c>
      <c r="E19" s="10" t="s">
        <v>131</v>
      </c>
    </row>
    <row r="20" customFormat="false" ht="23.85" hidden="false" customHeight="false" outlineLevel="0" collapsed="false">
      <c r="A20" s="9" t="s">
        <v>50</v>
      </c>
      <c r="B20" s="9" t="s">
        <v>13</v>
      </c>
      <c r="C20" s="9" t="s">
        <v>132</v>
      </c>
      <c r="D20" s="9" t="s">
        <v>133</v>
      </c>
      <c r="E20" s="10" t="s">
        <v>134</v>
      </c>
    </row>
    <row r="21" customFormat="false" ht="23.85" hidden="false" customHeight="false" outlineLevel="0" collapsed="false">
      <c r="A21" s="9" t="s">
        <v>32</v>
      </c>
      <c r="B21" s="9" t="s">
        <v>14</v>
      </c>
      <c r="C21" s="9" t="s">
        <v>86</v>
      </c>
      <c r="D21" s="9" t="s">
        <v>135</v>
      </c>
      <c r="E21" s="10" t="s">
        <v>136</v>
      </c>
    </row>
    <row r="22" customFormat="false" ht="23.85" hidden="false" customHeight="false" outlineLevel="0" collapsed="false">
      <c r="A22" s="9" t="s">
        <v>63</v>
      </c>
      <c r="B22" s="9" t="s">
        <v>15</v>
      </c>
      <c r="C22" s="9" t="s">
        <v>137</v>
      </c>
      <c r="D22" s="9" t="s">
        <v>138</v>
      </c>
      <c r="E22" s="10" t="s">
        <v>139</v>
      </c>
    </row>
    <row r="23" customFormat="false" ht="15" hidden="false" customHeight="false" outlineLevel="0" collapsed="false">
      <c r="A23" s="9" t="s">
        <v>140</v>
      </c>
      <c r="B23" s="9" t="s">
        <v>15</v>
      </c>
      <c r="C23" s="9" t="s">
        <v>137</v>
      </c>
      <c r="D23" s="9" t="s">
        <v>141</v>
      </c>
      <c r="E23" s="10" t="s">
        <v>142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2" t="s">
        <v>143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144</v>
      </c>
    </row>
    <row r="4" customFormat="false" ht="15" hidden="false" customHeight="false" outlineLevel="0" collapsed="false">
      <c r="A4" s="13" t="s">
        <v>145</v>
      </c>
    </row>
    <row r="5" customFormat="false" ht="15" hidden="false" customHeight="false" outlineLevel="0" collapsed="false">
      <c r="A5" s="13" t="s">
        <v>146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 t="s">
        <v>147</v>
      </c>
    </row>
    <row r="8" customFormat="false" ht="15" hidden="false" customHeight="false" outlineLevel="0" collapsed="false">
      <c r="A8" s="13" t="s">
        <v>148</v>
      </c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3" t="s">
        <v>149</v>
      </c>
    </row>
    <row r="11" customFormat="false" ht="15" hidden="false" customHeight="false" outlineLevel="0" collapsed="false">
      <c r="A11" s="13" t="s">
        <v>150</v>
      </c>
    </row>
    <row r="12" customFormat="false" ht="15" hidden="false" customHeight="false" outlineLevel="0" collapsed="false">
      <c r="A12" s="13"/>
    </row>
    <row r="13" customFormat="false" ht="15" hidden="false" customHeight="false" outlineLevel="0" collapsed="false">
      <c r="A13" s="13" t="s">
        <v>151</v>
      </c>
    </row>
    <row r="14" customFormat="false" ht="15" hidden="false" customHeight="false" outlineLevel="0" collapsed="false">
      <c r="A14" s="13" t="s">
        <v>152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 t="s">
        <v>153</v>
      </c>
    </row>
    <row r="17" customFormat="false" ht="15" hidden="false" customHeight="false" outlineLevel="0" collapsed="false">
      <c r="A17" s="13" t="s">
        <v>154</v>
      </c>
    </row>
    <row r="18" customFormat="false" ht="15" hidden="false" customHeight="false" outlineLevel="0" collapsed="false">
      <c r="A18" s="13"/>
    </row>
    <row r="19" customFormat="false" ht="15" hidden="false" customHeight="false" outlineLevel="0" collapsed="false">
      <c r="A19" s="13" t="s">
        <v>155</v>
      </c>
    </row>
    <row r="20" customFormat="false" ht="15" hidden="false" customHeight="false" outlineLevel="0" collapsed="false">
      <c r="A20" s="13" t="s">
        <v>156</v>
      </c>
    </row>
    <row r="21" customFormat="false" ht="15" hidden="false" customHeight="false" outlineLevel="0" collapsed="false">
      <c r="A21" s="13" t="s">
        <v>157</v>
      </c>
    </row>
    <row r="22" customFormat="false" ht="15" hidden="false" customHeight="false" outlineLevel="0" collapsed="false">
      <c r="A22" s="13" t="s">
        <v>158</v>
      </c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3" t="s">
        <v>159</v>
      </c>
    </row>
    <row r="25" customFormat="false" ht="15" hidden="false" customHeight="false" outlineLevel="0" collapsed="false">
      <c r="A25" s="1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2026-07-27T13:41:14Z</dcterms:created>
  <dc:creator>Natavan Hasanova</dc:creator>
  <dc:description/>
  <dc:language>en-US</dc:language>
  <cp:lastModifiedBy/>
  <dcterms:modified xsi:type="dcterms:W3CDTF">2026-07-27T15:41:15Z</dcterms:modified>
  <cp:revision>1</cp:revision>
  <dc:subject/>
  <dc:title>Audit Evidence &amp; Compliance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